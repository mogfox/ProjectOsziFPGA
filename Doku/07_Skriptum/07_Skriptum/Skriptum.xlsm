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360" yWindow="135" windowWidth="29715" windowHeight="13605" activeTab="10"/>
  </bookViews>
  <sheets>
    <sheet name="Wenn_1" sheetId="1" r:id="rId1"/>
    <sheet name="Wenn_verschachtelt" sheetId="2" r:id="rId2"/>
    <sheet name="ODER_1" sheetId="3" r:id="rId3"/>
    <sheet name="UND_mit_wenn" sheetId="4" r:id="rId4"/>
    <sheet name="Vergleich" sheetId="5" r:id="rId5"/>
    <sheet name="Vergleich (2)" sheetId="6" r:id="rId6"/>
    <sheet name="Matrix_1" sheetId="7" r:id="rId7"/>
    <sheet name="Matrix_MitVergleich" sheetId="8" r:id="rId8"/>
    <sheet name="Matrix_Bezug" sheetId="9" r:id="rId9"/>
    <sheet name="sverweis" sheetId="10" r:id="rId10"/>
    <sheet name="wverweis" sheetId="11" r:id="rId11"/>
  </sheets>
  <definedNames>
    <definedName name="ShowFormula">GET.CELL(6,!XFC1)</definedName>
  </definedNames>
  <calcPr calcId="145621"/>
</workbook>
</file>

<file path=xl/calcChain.xml><?xml version="1.0" encoding="utf-8"?>
<calcChain xmlns="http://schemas.openxmlformats.org/spreadsheetml/2006/main">
  <c r="C8" i="11" l="1"/>
  <c r="C9" i="11"/>
  <c r="C10" i="11"/>
  <c r="D10" i="11" s="1"/>
  <c r="C11" i="11"/>
  <c r="C12" i="11"/>
  <c r="C7" i="11"/>
  <c r="D7" i="11" s="1"/>
  <c r="D12" i="11"/>
  <c r="D11" i="11"/>
  <c r="D9" i="11"/>
  <c r="D8" i="11"/>
  <c r="D4" i="10"/>
  <c r="D8" i="10"/>
  <c r="C4" i="10"/>
  <c r="C5" i="10"/>
  <c r="D5" i="10" s="1"/>
  <c r="C6" i="10"/>
  <c r="D6" i="10" s="1"/>
  <c r="C7" i="10"/>
  <c r="D7" i="10" s="1"/>
  <c r="C8" i="10"/>
  <c r="C3" i="10"/>
  <c r="D3" i="10" s="1"/>
  <c r="B17" i="9"/>
  <c r="B16" i="9"/>
  <c r="B15" i="9"/>
  <c r="B20" i="9"/>
  <c r="B9" i="8"/>
  <c r="B8" i="7"/>
  <c r="E3" i="10"/>
  <c r="E7" i="11"/>
  <c r="D17" i="9"/>
  <c r="D16" i="9"/>
  <c r="D15" i="9"/>
  <c r="D9" i="8"/>
  <c r="D8" i="7"/>
  <c r="E5" i="6" l="1"/>
  <c r="E5" i="5"/>
  <c r="E4" i="4"/>
  <c r="E5" i="4"/>
  <c r="E6" i="4"/>
  <c r="E3" i="4"/>
  <c r="B4" i="3"/>
  <c r="B3" i="3"/>
  <c r="C4" i="2"/>
  <c r="C5" i="2"/>
  <c r="C6" i="2"/>
  <c r="C3" i="2"/>
  <c r="B3" i="1"/>
  <c r="B2" i="1"/>
  <c r="G4" i="4"/>
  <c r="D4" i="3"/>
  <c r="E5" i="2"/>
  <c r="E3" i="2"/>
  <c r="D3" i="1"/>
  <c r="E6" i="2"/>
  <c r="G6" i="4"/>
  <c r="D3" i="3"/>
  <c r="G5" i="6"/>
  <c r="G5" i="4"/>
  <c r="E4" i="2"/>
  <c r="G3" i="4"/>
  <c r="D2" i="1"/>
  <c r="G5" i="5"/>
</calcChain>
</file>

<file path=xl/sharedStrings.xml><?xml version="1.0" encoding="utf-8"?>
<sst xmlns="http://schemas.openxmlformats.org/spreadsheetml/2006/main" count="119" uniqueCount="69">
  <si>
    <t>Person</t>
  </si>
  <si>
    <t>Alter</t>
  </si>
  <si>
    <t>Karl</t>
  </si>
  <si>
    <t>Eva</t>
  </si>
  <si>
    <t>Maria</t>
  </si>
  <si>
    <t>Werner</t>
  </si>
  <si>
    <t>Einstufung</t>
  </si>
  <si>
    <t>Klasse</t>
  </si>
  <si>
    <t>Mädchen</t>
  </si>
  <si>
    <t>Buben</t>
  </si>
  <si>
    <t>3A</t>
  </si>
  <si>
    <t>7B</t>
  </si>
  <si>
    <t>5C</t>
  </si>
  <si>
    <t>1D</t>
  </si>
  <si>
    <t>Art</t>
  </si>
  <si>
    <t>Suchkriterium:</t>
  </si>
  <si>
    <t>Ergebnis:</t>
  </si>
  <si>
    <t>Suchmatrix
(B2:B7)</t>
  </si>
  <si>
    <t>Obst</t>
  </si>
  <si>
    <t>Preis</t>
  </si>
  <si>
    <t>Anzahl</t>
  </si>
  <si>
    <t>Apfel</t>
  </si>
  <si>
    <t>Banane</t>
  </si>
  <si>
    <t>Zitrone</t>
  </si>
  <si>
    <t>Orange</t>
  </si>
  <si>
    <t>Birne</t>
  </si>
  <si>
    <t>Zitronenpreis</t>
  </si>
  <si>
    <t>Artikel</t>
  </si>
  <si>
    <t>Gesamtpreis</t>
  </si>
  <si>
    <t>Ware</t>
  </si>
  <si>
    <t>Code</t>
  </si>
  <si>
    <t>Mandel</t>
  </si>
  <si>
    <t>Cashewkern</t>
  </si>
  <si>
    <t>Erdnuss</t>
  </si>
  <si>
    <t>Walnuss</t>
  </si>
  <si>
    <t>Güteklasse</t>
  </si>
  <si>
    <t>Formel</t>
  </si>
  <si>
    <t>2BD12</t>
  </si>
  <si>
    <t>2LI60</t>
  </si>
  <si>
    <t>1QV11</t>
  </si>
  <si>
    <t>2JF87</t>
  </si>
  <si>
    <t>2SG42</t>
  </si>
  <si>
    <t>1HR99</t>
  </si>
  <si>
    <t>3RA76</t>
  </si>
  <si>
    <t>2RA20</t>
  </si>
  <si>
    <t>3NS73</t>
  </si>
  <si>
    <t>Lagerstand</t>
  </si>
  <si>
    <t>Güteklasse 1</t>
  </si>
  <si>
    <t>Güteklasse 2</t>
  </si>
  <si>
    <t>Güteklasse 3</t>
  </si>
  <si>
    <t>=INDEX(($C$3:$D$11;$E$3:$F$11;$G$3:$H$11);VERGLEICH(B14;$B$3:$B$11;0);2;$B$13)</t>
  </si>
  <si>
    <t>=INDEX(</t>
  </si>
  <si>
    <t>($C$3:$D$11;$E$3:$F$11;$G$3:$H$11);</t>
  </si>
  <si>
    <t>VERGLEICH(B14;$B$3:$B$11;0);</t>
  </si>
  <si>
    <t>2;</t>
  </si>
  <si>
    <t>$B$13</t>
  </si>
  <si>
    <t>)</t>
  </si>
  <si>
    <t>Kunde</t>
  </si>
  <si>
    <t>Umsatz</t>
  </si>
  <si>
    <t>Betrag</t>
  </si>
  <si>
    <t>Rabatt</t>
  </si>
  <si>
    <t>Maier Gmbh</t>
  </si>
  <si>
    <t>Striezelkönig</t>
  </si>
  <si>
    <t>Mamas Bester</t>
  </si>
  <si>
    <t>Tauchsport Foobar</t>
  </si>
  <si>
    <t>Reitschule Hofer</t>
  </si>
  <si>
    <t>Planenbau Seifried</t>
  </si>
  <si>
    <t>Suchkriterium</t>
  </si>
  <si>
    <t>Matrix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</si>
</sst>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-* #,##0.00\ &quot;€&quot;_-;\-* #,##0.00\ &quot;€&quot;_-;_-* &quot;-&quot;??\ &quot;€&quot;_-;_-@_-"/>
    <numFmt numFmtId="166" formatCode="#,##0.00\ &quot;€&quot;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5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2" borderId="0" xfId="0" applyFill="1" applyAlignment="1">
      <alignment horizontal="center" vertical="center" textRotation="90" wrapText="1"/>
    </xf>
    <xf numFmtId="0" fontId="0" fillId="2" borderId="0" xfId="0" applyFill="1" applyAlignment="1">
      <alignment horizontal="center" vertical="center" textRotation="90"/>
    </xf>
    <xf numFmtId="0" fontId="2" fillId="0" borderId="0" xfId="0" applyFont="1"/>
    <xf numFmtId="0" fontId="2" fillId="0" borderId="0" xfId="0" applyFont="1" applyAlignment="1">
      <alignment horizontal="center"/>
    </xf>
    <xf numFmtId="2" fontId="0" fillId="0" borderId="0" xfId="0" applyNumberFormat="1"/>
    <xf numFmtId="2" fontId="0" fillId="5" borderId="0" xfId="0" applyNumberFormat="1" applyFill="1"/>
    <xf numFmtId="0" fontId="0" fillId="5" borderId="0" xfId="0" applyFill="1"/>
    <xf numFmtId="2" fontId="0" fillId="6" borderId="0" xfId="0" applyNumberFormat="1" applyFill="1"/>
    <xf numFmtId="0" fontId="0" fillId="6" borderId="0" xfId="0" applyFill="1"/>
    <xf numFmtId="0" fontId="0" fillId="7" borderId="0" xfId="0" applyFill="1"/>
    <xf numFmtId="2" fontId="0" fillId="8" borderId="0" xfId="0" applyNumberFormat="1" applyFill="1"/>
    <xf numFmtId="0" fontId="0" fillId="8" borderId="0" xfId="0" applyFill="1"/>
    <xf numFmtId="0" fontId="0" fillId="0" borderId="0" xfId="0" applyAlignment="1">
      <alignment horizontal="right"/>
    </xf>
    <xf numFmtId="0" fontId="2" fillId="0" borderId="0" xfId="0" applyFont="1" applyAlignment="1">
      <alignment horizontal="center"/>
    </xf>
    <xf numFmtId="0" fontId="0" fillId="0" borderId="0" xfId="0" quotePrefix="1"/>
    <xf numFmtId="9" fontId="0" fillId="0" borderId="0" xfId="2" applyNumberFormat="1" applyFont="1"/>
    <xf numFmtId="166" fontId="0" fillId="0" borderId="0" xfId="1" applyNumberFormat="1" applyFont="1"/>
    <xf numFmtId="166" fontId="0" fillId="7" borderId="0" xfId="1" applyNumberFormat="1" applyFont="1" applyFill="1"/>
    <xf numFmtId="166" fontId="0" fillId="9" borderId="0" xfId="1" applyNumberFormat="1" applyFont="1" applyFill="1"/>
    <xf numFmtId="9" fontId="0" fillId="9" borderId="0" xfId="2" applyNumberFormat="1" applyFont="1" applyFill="1"/>
    <xf numFmtId="0" fontId="0" fillId="9" borderId="0" xfId="0" applyFill="1"/>
  </cellXfs>
  <cellStyles count="3">
    <cellStyle name="Prozent" xfId="2" builtinId="5"/>
    <cellStyle name="Standard" xfId="0" builtinId="0"/>
    <cellStyle name="Währung" xfId="1" builtin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D3"/>
  <sheetViews>
    <sheetView zoomScaleNormal="100" workbookViewId="0">
      <selection activeCell="B2" sqref="B2"/>
    </sheetView>
  </sheetViews>
  <sheetFormatPr baseColWidth="10" defaultRowHeight="15" x14ac:dyDescent="0.25"/>
  <sheetData>
    <row r="2" spans="1:4" x14ac:dyDescent="0.25">
      <c r="A2">
        <v>10</v>
      </c>
      <c r="B2" t="str">
        <f>IF(A2&gt;1000,"Große Zahl","Kleine Zahl")</f>
        <v>Kleine Zahl</v>
      </c>
      <c r="D2" t="str">
        <f>ShowFormula</f>
        <v>=WENN(A2&gt;1000;"Große Zahl";"Kleine Zahl")</v>
      </c>
    </row>
    <row r="3" spans="1:4" x14ac:dyDescent="0.25">
      <c r="A3">
        <v>10000</v>
      </c>
      <c r="B3" t="str">
        <f>IF(A3&gt;1000,"Große Zahl","Kleine Zahl")</f>
        <v>Große Zahl</v>
      </c>
      <c r="D3" t="str">
        <f>ShowFormula</f>
        <v>=WENN(A3&gt;1000;"Große Zahl";"Kleine Zahl")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E6"/>
  <sheetViews>
    <sheetView zoomScaleNormal="100" workbookViewId="0">
      <selection activeCell="C3" sqref="C3"/>
    </sheetView>
  </sheetViews>
  <sheetFormatPr baseColWidth="10" defaultRowHeight="15" x14ac:dyDescent="0.25"/>
  <cols>
    <col min="2" max="2" width="7.140625" customWidth="1"/>
  </cols>
  <sheetData>
    <row r="2" spans="1:5" x14ac:dyDescent="0.25">
      <c r="A2" t="s">
        <v>0</v>
      </c>
      <c r="B2" t="s">
        <v>1</v>
      </c>
      <c r="C2" t="s">
        <v>6</v>
      </c>
    </row>
    <row r="3" spans="1:5" x14ac:dyDescent="0.25">
      <c r="A3" t="s">
        <v>2</v>
      </c>
      <c r="B3">
        <v>67</v>
      </c>
      <c r="C3" t="str">
        <f>IF(B3=65,"ALT",IF(B3&gt;=35,"MITTEL","JUNG"))</f>
        <v>MITTEL</v>
      </c>
      <c r="E3" t="str">
        <f>ShowFormula</f>
        <v>=WENN(B3=65;"ALT";WENN(B3&gt;=35;"MITTEL";"JUNG"))</v>
      </c>
    </row>
    <row r="4" spans="1:5" x14ac:dyDescent="0.25">
      <c r="A4" t="s">
        <v>3</v>
      </c>
      <c r="B4">
        <v>35</v>
      </c>
      <c r="C4" t="str">
        <f t="shared" ref="C4:C6" si="0">IF(B4=65,"ALT",IF(B4&gt;=35,"MITTEL","JUNG"))</f>
        <v>MITTEL</v>
      </c>
      <c r="E4" t="str">
        <f>ShowFormula</f>
        <v>=WENN(B4=65;"ALT";WENN(B4&gt;=35;"MITTEL";"JUNG"))</v>
      </c>
    </row>
    <row r="5" spans="1:5" x14ac:dyDescent="0.25">
      <c r="A5" t="s">
        <v>4</v>
      </c>
      <c r="B5">
        <v>27</v>
      </c>
      <c r="C5" t="str">
        <f t="shared" si="0"/>
        <v>JUNG</v>
      </c>
      <c r="E5" t="str">
        <f>ShowFormula</f>
        <v>=WENN(B5=65;"ALT";WENN(B5&gt;=35;"MITTEL";"JUNG"))</v>
      </c>
    </row>
    <row r="6" spans="1:5" x14ac:dyDescent="0.25">
      <c r="A6" t="s">
        <v>5</v>
      </c>
      <c r="B6">
        <v>17</v>
      </c>
      <c r="C6" t="str">
        <f t="shared" si="0"/>
        <v>JUNG</v>
      </c>
      <c r="E6" t="str">
        <f>ShowFormula</f>
        <v>=WENN(B6=65;"ALT";WENN(B6&gt;=35;"MITTEL";"JUNG"))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D4"/>
  <sheetViews>
    <sheetView zoomScaleNormal="100" workbookViewId="0">
      <selection activeCell="B7" sqref="B7"/>
    </sheetView>
  </sheetViews>
  <sheetFormatPr baseColWidth="10" defaultRowHeight="15" x14ac:dyDescent="0.25"/>
  <sheetData>
    <row r="3" spans="2:4" x14ac:dyDescent="0.25">
      <c r="B3" t="b">
        <f>OR(1&lt;0,8/4=2)</f>
        <v>1</v>
      </c>
      <c r="D3" t="str">
        <f>ShowFormula</f>
        <v>=ODER(1&lt;0;8/4=2)</v>
      </c>
    </row>
    <row r="4" spans="2:4" x14ac:dyDescent="0.25">
      <c r="B4" t="b">
        <f>OR(1=2,4/0.5=2)</f>
        <v>0</v>
      </c>
      <c r="D4" t="str">
        <f>ShowFormula</f>
        <v>=ODER(1=2;4/0,5=2)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G6"/>
  <sheetViews>
    <sheetView zoomScaleNormal="100" workbookViewId="0">
      <selection activeCell="E3" sqref="E3"/>
    </sheetView>
  </sheetViews>
  <sheetFormatPr baseColWidth="10" defaultRowHeight="15" x14ac:dyDescent="0.25"/>
  <cols>
    <col min="5" max="5" width="12.5703125" bestFit="1" customWidth="1"/>
  </cols>
  <sheetData>
    <row r="2" spans="2:7" x14ac:dyDescent="0.25">
      <c r="B2" t="s">
        <v>7</v>
      </c>
      <c r="C2" t="s">
        <v>8</v>
      </c>
      <c r="D2" t="s">
        <v>9</v>
      </c>
      <c r="E2" t="s">
        <v>14</v>
      </c>
    </row>
    <row r="3" spans="2:7" x14ac:dyDescent="0.25">
      <c r="B3" t="s">
        <v>10</v>
      </c>
      <c r="C3">
        <v>30</v>
      </c>
      <c r="D3">
        <v>0</v>
      </c>
      <c r="E3" t="str">
        <f>IF(AND(C3&gt;0,D3&gt;0),"gemischt",IF(C3&gt;0,"nur Mädchen","nur Buben"))</f>
        <v>nur Mädchen</v>
      </c>
      <c r="G3" t="str">
        <f>ShowFormula</f>
        <v>=WENN(UND(C3&gt;0;D3&gt;0);"gemischt";WENN(C3&gt;0;"nur Mädchen";"nur Buben"))</v>
      </c>
    </row>
    <row r="4" spans="2:7" x14ac:dyDescent="0.25">
      <c r="B4" t="s">
        <v>11</v>
      </c>
      <c r="C4">
        <v>15</v>
      </c>
      <c r="D4">
        <v>9</v>
      </c>
      <c r="E4" t="str">
        <f t="shared" ref="E4:E6" si="0">IF(AND(C4&gt;0,D4&gt;0),"gemischt",IF(C4&gt;0,"nur Mädchen","nur Buben"))</f>
        <v>gemischt</v>
      </c>
      <c r="G4" t="str">
        <f>ShowFormula</f>
        <v>=WENN(UND(C4&gt;0;D4&gt;0);"gemischt";WENN(C4&gt;0;"nur Mädchen";"nur Buben"))</v>
      </c>
    </row>
    <row r="5" spans="2:7" x14ac:dyDescent="0.25">
      <c r="B5" t="s">
        <v>12</v>
      </c>
      <c r="C5">
        <v>18</v>
      </c>
      <c r="D5">
        <v>10</v>
      </c>
      <c r="E5" t="str">
        <f t="shared" si="0"/>
        <v>gemischt</v>
      </c>
      <c r="G5" t="str">
        <f>ShowFormula</f>
        <v>=WENN(UND(C5&gt;0;D5&gt;0);"gemischt";WENN(C5&gt;0;"nur Mädchen";"nur Buben"))</v>
      </c>
    </row>
    <row r="6" spans="2:7" x14ac:dyDescent="0.25">
      <c r="B6" t="s">
        <v>13</v>
      </c>
      <c r="C6">
        <v>0</v>
      </c>
      <c r="D6">
        <v>32</v>
      </c>
      <c r="E6" t="str">
        <f t="shared" si="0"/>
        <v>nur Buben</v>
      </c>
      <c r="G6" t="str">
        <f>ShowFormula</f>
        <v>=WENN(UND(C6&gt;0;D6&gt;0);"gemischt";WENN(C6&gt;0;"nur Mädchen";"nur Buben"))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G7"/>
  <sheetViews>
    <sheetView zoomScaleNormal="100" workbookViewId="0">
      <selection activeCell="E5" sqref="E5"/>
    </sheetView>
  </sheetViews>
  <sheetFormatPr baseColWidth="10" defaultRowHeight="15" x14ac:dyDescent="0.25"/>
  <cols>
    <col min="3" max="3" width="4.42578125" customWidth="1"/>
    <col min="4" max="4" width="14" bestFit="1" customWidth="1"/>
  </cols>
  <sheetData>
    <row r="2" spans="1:7" x14ac:dyDescent="0.25">
      <c r="A2" s="4" t="s">
        <v>17</v>
      </c>
      <c r="B2" s="1">
        <v>100</v>
      </c>
      <c r="D2" s="2" t="s">
        <v>15</v>
      </c>
      <c r="E2" s="2">
        <v>245</v>
      </c>
    </row>
    <row r="3" spans="1:7" x14ac:dyDescent="0.25">
      <c r="A3" s="5"/>
      <c r="B3" s="1">
        <v>200</v>
      </c>
    </row>
    <row r="4" spans="1:7" x14ac:dyDescent="0.25">
      <c r="A4" s="5"/>
      <c r="B4" s="1">
        <v>300</v>
      </c>
    </row>
    <row r="5" spans="1:7" x14ac:dyDescent="0.25">
      <c r="A5" s="5"/>
      <c r="B5" s="1">
        <v>400</v>
      </c>
      <c r="D5" t="s">
        <v>16</v>
      </c>
      <c r="E5" s="3">
        <f>MATCH(E2,$B$2:$B$7,1)</f>
        <v>2</v>
      </c>
      <c r="G5" t="str">
        <f>ShowFormula</f>
        <v>=VERGLEICH(E2;$B$2:$B$7;1)</v>
      </c>
    </row>
    <row r="6" spans="1:7" x14ac:dyDescent="0.25">
      <c r="A6" s="5"/>
      <c r="B6" s="1">
        <v>500</v>
      </c>
    </row>
    <row r="7" spans="1:7" x14ac:dyDescent="0.25">
      <c r="A7" s="5"/>
      <c r="B7" s="1">
        <v>600</v>
      </c>
    </row>
  </sheetData>
  <mergeCells count="1">
    <mergeCell ref="A2:A7"/>
  </mergeCells>
  <pageMargins left="0.7" right="0.7" top="0.78740157499999996" bottom="0.78740157499999996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G7"/>
  <sheetViews>
    <sheetView zoomScaleNormal="100" workbookViewId="0">
      <selection activeCell="E5" sqref="E5"/>
    </sheetView>
  </sheetViews>
  <sheetFormatPr baseColWidth="10" defaultRowHeight="15" x14ac:dyDescent="0.25"/>
  <cols>
    <col min="3" max="3" width="4.42578125" customWidth="1"/>
    <col min="4" max="4" width="14" bestFit="1" customWidth="1"/>
  </cols>
  <sheetData>
    <row r="2" spans="1:7" x14ac:dyDescent="0.25">
      <c r="A2" s="4" t="s">
        <v>17</v>
      </c>
      <c r="B2" s="1">
        <v>100</v>
      </c>
      <c r="D2" s="2" t="s">
        <v>15</v>
      </c>
      <c r="E2" s="2">
        <v>50</v>
      </c>
    </row>
    <row r="3" spans="1:7" x14ac:dyDescent="0.25">
      <c r="A3" s="5"/>
      <c r="B3" s="1">
        <v>200</v>
      </c>
    </row>
    <row r="4" spans="1:7" x14ac:dyDescent="0.25">
      <c r="A4" s="5"/>
      <c r="B4" s="1">
        <v>300</v>
      </c>
    </row>
    <row r="5" spans="1:7" x14ac:dyDescent="0.25">
      <c r="A5" s="5"/>
      <c r="B5" s="1">
        <v>400</v>
      </c>
      <c r="D5" t="s">
        <v>16</v>
      </c>
      <c r="E5" s="3" t="str">
        <f>IFERROR(MATCH(E2,$B$2:$B$7,1),"Wert &lt; 100")</f>
        <v>Wert &lt; 100</v>
      </c>
      <c r="G5" t="str">
        <f>ShowFormula</f>
        <v>=WENNFEHLER(VERGLEICH(E2;$B$2:$B$7;1);"Wert &lt; 100")</v>
      </c>
    </row>
    <row r="6" spans="1:7" x14ac:dyDescent="0.25">
      <c r="A6" s="5"/>
      <c r="B6" s="1">
        <v>500</v>
      </c>
    </row>
    <row r="7" spans="1:7" x14ac:dyDescent="0.25">
      <c r="A7" s="5"/>
      <c r="B7" s="1">
        <v>600</v>
      </c>
    </row>
  </sheetData>
  <mergeCells count="1">
    <mergeCell ref="A2:A7"/>
  </mergeCells>
  <pageMargins left="0.7" right="0.7" top="0.78740157499999996" bottom="0.78740157499999996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8"/>
  <sheetViews>
    <sheetView zoomScaleNormal="100" workbookViewId="0">
      <selection activeCell="B8" sqref="B8"/>
    </sheetView>
  </sheetViews>
  <sheetFormatPr baseColWidth="10" defaultRowHeight="15" x14ac:dyDescent="0.25"/>
  <cols>
    <col min="1" max="1" width="13" customWidth="1"/>
  </cols>
  <sheetData>
    <row r="1" spans="1:4" x14ac:dyDescent="0.25">
      <c r="A1" s="7" t="s">
        <v>18</v>
      </c>
      <c r="B1" s="7" t="s">
        <v>19</v>
      </c>
      <c r="C1" s="7" t="s">
        <v>20</v>
      </c>
    </row>
    <row r="2" spans="1:4" x14ac:dyDescent="0.25">
      <c r="A2" t="s">
        <v>21</v>
      </c>
      <c r="B2">
        <v>0.69</v>
      </c>
      <c r="C2">
        <v>40</v>
      </c>
    </row>
    <row r="3" spans="1:4" x14ac:dyDescent="0.25">
      <c r="A3" t="s">
        <v>22</v>
      </c>
      <c r="B3">
        <v>0.34</v>
      </c>
      <c r="C3">
        <v>38</v>
      </c>
    </row>
    <row r="4" spans="1:4" x14ac:dyDescent="0.25">
      <c r="A4" t="s">
        <v>23</v>
      </c>
      <c r="B4">
        <v>0.55000000000000004</v>
      </c>
      <c r="C4">
        <v>15</v>
      </c>
    </row>
    <row r="5" spans="1:4" x14ac:dyDescent="0.25">
      <c r="A5" t="s">
        <v>24</v>
      </c>
      <c r="B5">
        <v>0.25</v>
      </c>
      <c r="C5">
        <v>25</v>
      </c>
    </row>
    <row r="6" spans="1:4" x14ac:dyDescent="0.25">
      <c r="A6" t="s">
        <v>25</v>
      </c>
      <c r="B6">
        <v>0.59</v>
      </c>
      <c r="C6">
        <v>40</v>
      </c>
    </row>
    <row r="8" spans="1:4" x14ac:dyDescent="0.25">
      <c r="A8" s="2" t="s">
        <v>26</v>
      </c>
      <c r="B8" s="2">
        <f>INDEX(A2:C6,3,2)</f>
        <v>0.55000000000000004</v>
      </c>
      <c r="D8" t="str">
        <f>ShowFormula</f>
        <v>=INDEX(A2:C6;3;2)</v>
      </c>
    </row>
  </sheetData>
  <pageMargins left="0.7" right="0.7" top="0.78740157499999996" bottom="0.78740157499999996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9"/>
  <sheetViews>
    <sheetView zoomScaleNormal="100" workbookViewId="0">
      <selection activeCell="B9" sqref="B9"/>
    </sheetView>
  </sheetViews>
  <sheetFormatPr baseColWidth="10" defaultRowHeight="15" x14ac:dyDescent="0.25"/>
  <cols>
    <col min="1" max="1" width="13" customWidth="1"/>
  </cols>
  <sheetData>
    <row r="1" spans="1:4" x14ac:dyDescent="0.25">
      <c r="A1" s="7" t="s">
        <v>18</v>
      </c>
      <c r="B1" s="7" t="s">
        <v>19</v>
      </c>
      <c r="C1" s="7" t="s">
        <v>20</v>
      </c>
    </row>
    <row r="2" spans="1:4" x14ac:dyDescent="0.25">
      <c r="A2" t="s">
        <v>21</v>
      </c>
      <c r="B2">
        <v>0.69</v>
      </c>
      <c r="C2">
        <v>40</v>
      </c>
    </row>
    <row r="3" spans="1:4" x14ac:dyDescent="0.25">
      <c r="A3" t="s">
        <v>22</v>
      </c>
      <c r="B3">
        <v>0.34</v>
      </c>
      <c r="C3">
        <v>38</v>
      </c>
    </row>
    <row r="4" spans="1:4" x14ac:dyDescent="0.25">
      <c r="A4" t="s">
        <v>23</v>
      </c>
      <c r="B4">
        <v>0.55000000000000004</v>
      </c>
      <c r="C4">
        <v>15</v>
      </c>
    </row>
    <row r="5" spans="1:4" x14ac:dyDescent="0.25">
      <c r="A5" t="s">
        <v>24</v>
      </c>
      <c r="B5">
        <v>0.25</v>
      </c>
      <c r="C5">
        <v>25</v>
      </c>
    </row>
    <row r="6" spans="1:4" x14ac:dyDescent="0.25">
      <c r="A6" t="s">
        <v>25</v>
      </c>
      <c r="B6">
        <v>0.59</v>
      </c>
      <c r="C6">
        <v>40</v>
      </c>
    </row>
    <row r="8" spans="1:4" x14ac:dyDescent="0.25">
      <c r="A8" t="s">
        <v>27</v>
      </c>
      <c r="B8" t="s">
        <v>23</v>
      </c>
    </row>
    <row r="9" spans="1:4" x14ac:dyDescent="0.25">
      <c r="A9" s="2" t="s">
        <v>28</v>
      </c>
      <c r="B9" s="2">
        <f>INDEX(A2:C6,MATCH(B8,$A$2:$A$6,0),2)</f>
        <v>0.55000000000000004</v>
      </c>
      <c r="D9" t="str">
        <f>ShowFormula</f>
        <v>=INDEX(A2:C6;VERGLEICH(B8;$A$2:$A$6;0);2)</v>
      </c>
    </row>
  </sheetData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FB31"/>
  <sheetViews>
    <sheetView zoomScaleNormal="100" workbookViewId="0">
      <selection activeCell="B17" sqref="B17"/>
    </sheetView>
  </sheetViews>
  <sheetFormatPr baseColWidth="10" defaultRowHeight="15" x14ac:dyDescent="0.25"/>
  <cols>
    <col min="12" max="12" width="8.140625" bestFit="1" customWidth="1"/>
    <col min="13" max="13" width="34.42578125" bestFit="1" customWidth="1"/>
    <col min="14" max="14" width="28.140625" bestFit="1" customWidth="1"/>
    <col min="15" max="15" width="2.5703125" bestFit="1" customWidth="1"/>
    <col min="16" max="16" width="6.140625" bestFit="1" customWidth="1"/>
    <col min="17" max="17" width="1.7109375" bestFit="1" customWidth="1"/>
  </cols>
  <sheetData>
    <row r="1" spans="1:8" x14ac:dyDescent="0.25">
      <c r="C1" s="17" t="s">
        <v>47</v>
      </c>
      <c r="D1" s="17"/>
      <c r="E1" s="17" t="s">
        <v>48</v>
      </c>
      <c r="F1" s="17"/>
      <c r="G1" s="17" t="s">
        <v>49</v>
      </c>
      <c r="H1" s="17"/>
    </row>
    <row r="2" spans="1:8" x14ac:dyDescent="0.25">
      <c r="A2" s="6" t="s">
        <v>29</v>
      </c>
      <c r="B2" s="6" t="s">
        <v>30</v>
      </c>
      <c r="C2" s="6" t="s">
        <v>19</v>
      </c>
      <c r="D2" s="6" t="s">
        <v>20</v>
      </c>
      <c r="E2" s="6" t="s">
        <v>19</v>
      </c>
      <c r="F2" s="6" t="s">
        <v>20</v>
      </c>
      <c r="G2" s="6" t="s">
        <v>19</v>
      </c>
      <c r="H2" s="6" t="s">
        <v>20</v>
      </c>
    </row>
    <row r="3" spans="1:8" x14ac:dyDescent="0.25">
      <c r="A3" t="s">
        <v>21</v>
      </c>
      <c r="B3" t="s">
        <v>37</v>
      </c>
      <c r="C3" s="8">
        <v>0.69</v>
      </c>
      <c r="D3">
        <v>40</v>
      </c>
      <c r="E3" s="8">
        <v>0.55000000000000004</v>
      </c>
      <c r="F3">
        <v>55</v>
      </c>
      <c r="G3" s="8">
        <v>0.34</v>
      </c>
      <c r="H3">
        <v>77</v>
      </c>
    </row>
    <row r="4" spans="1:8" x14ac:dyDescent="0.25">
      <c r="A4" t="s">
        <v>22</v>
      </c>
      <c r="B4" t="s">
        <v>38</v>
      </c>
      <c r="C4" s="8">
        <v>0.34</v>
      </c>
      <c r="D4">
        <v>38</v>
      </c>
      <c r="E4" s="8">
        <v>0.2</v>
      </c>
      <c r="F4">
        <v>67</v>
      </c>
      <c r="G4" s="8">
        <v>0.11</v>
      </c>
      <c r="H4">
        <v>123</v>
      </c>
    </row>
    <row r="5" spans="1:8" x14ac:dyDescent="0.25">
      <c r="A5" t="s">
        <v>23</v>
      </c>
      <c r="B5" t="s">
        <v>39</v>
      </c>
      <c r="C5" s="8">
        <v>0.55000000000000004</v>
      </c>
      <c r="D5">
        <v>15</v>
      </c>
      <c r="E5" s="8">
        <v>0.46</v>
      </c>
      <c r="F5">
        <v>40</v>
      </c>
      <c r="G5" s="8">
        <v>0.33</v>
      </c>
      <c r="H5">
        <v>213</v>
      </c>
    </row>
    <row r="6" spans="1:8" x14ac:dyDescent="0.25">
      <c r="A6" s="3" t="s">
        <v>24</v>
      </c>
      <c r="B6" s="3" t="s">
        <v>40</v>
      </c>
      <c r="C6" s="9">
        <v>0.25</v>
      </c>
      <c r="D6" s="10">
        <v>25</v>
      </c>
      <c r="E6" s="11">
        <v>0.25</v>
      </c>
      <c r="F6" s="12">
        <v>10</v>
      </c>
      <c r="G6" s="14">
        <v>0.16</v>
      </c>
      <c r="H6" s="15">
        <v>45</v>
      </c>
    </row>
    <row r="7" spans="1:8" x14ac:dyDescent="0.25">
      <c r="A7" t="s">
        <v>25</v>
      </c>
      <c r="B7" t="s">
        <v>41</v>
      </c>
      <c r="C7" s="8">
        <v>0.59</v>
      </c>
      <c r="D7">
        <v>40</v>
      </c>
      <c r="E7" s="8">
        <v>0.4</v>
      </c>
      <c r="F7">
        <v>78</v>
      </c>
      <c r="G7" s="8">
        <v>0.23</v>
      </c>
      <c r="H7">
        <v>56</v>
      </c>
    </row>
    <row r="8" spans="1:8" x14ac:dyDescent="0.25">
      <c r="A8" t="s">
        <v>31</v>
      </c>
      <c r="B8" t="s">
        <v>42</v>
      </c>
      <c r="C8" s="8">
        <v>2.8</v>
      </c>
      <c r="D8">
        <v>10</v>
      </c>
      <c r="E8" s="8">
        <v>2.2999999999999998</v>
      </c>
      <c r="F8">
        <v>34</v>
      </c>
      <c r="G8" s="8">
        <v>1.76</v>
      </c>
      <c r="H8">
        <v>54</v>
      </c>
    </row>
    <row r="9" spans="1:8" x14ac:dyDescent="0.25">
      <c r="A9" t="s">
        <v>32</v>
      </c>
      <c r="B9" t="s">
        <v>43</v>
      </c>
      <c r="C9" s="8">
        <v>3.55</v>
      </c>
      <c r="D9">
        <v>16</v>
      </c>
      <c r="E9" s="8">
        <v>3.2</v>
      </c>
      <c r="F9">
        <v>43</v>
      </c>
      <c r="G9" s="8">
        <v>2.56</v>
      </c>
      <c r="H9">
        <v>20</v>
      </c>
    </row>
    <row r="10" spans="1:8" x14ac:dyDescent="0.25">
      <c r="A10" t="s">
        <v>33</v>
      </c>
      <c r="B10" t="s">
        <v>44</v>
      </c>
      <c r="C10" s="8">
        <v>1.25</v>
      </c>
      <c r="D10">
        <v>20</v>
      </c>
      <c r="E10" s="8">
        <v>1.1000000000000001</v>
      </c>
      <c r="F10">
        <v>13</v>
      </c>
      <c r="G10" s="8">
        <v>0.89</v>
      </c>
      <c r="H10">
        <v>33</v>
      </c>
    </row>
    <row r="11" spans="1:8" x14ac:dyDescent="0.25">
      <c r="A11" t="s">
        <v>34</v>
      </c>
      <c r="B11" t="s">
        <v>45</v>
      </c>
      <c r="C11" s="8">
        <v>1.75</v>
      </c>
      <c r="D11">
        <v>12</v>
      </c>
      <c r="E11" s="8">
        <v>1.56</v>
      </c>
      <c r="F11">
        <v>54</v>
      </c>
      <c r="G11" s="8">
        <v>1.1200000000000001</v>
      </c>
      <c r="H11">
        <v>100</v>
      </c>
    </row>
    <row r="13" spans="1:8" x14ac:dyDescent="0.25">
      <c r="A13" t="s">
        <v>35</v>
      </c>
      <c r="B13" s="16">
        <v>3</v>
      </c>
    </row>
    <row r="14" spans="1:8" x14ac:dyDescent="0.25">
      <c r="A14" t="s">
        <v>30</v>
      </c>
      <c r="B14" s="16" t="s">
        <v>40</v>
      </c>
    </row>
    <row r="15" spans="1:8" x14ac:dyDescent="0.25">
      <c r="A15" t="s">
        <v>29</v>
      </c>
      <c r="B15" s="16" t="str">
        <f>INDEX(A3:B11,MATCH(B6,B3:B11,0),1)</f>
        <v>Orange</v>
      </c>
      <c r="D15" t="str">
        <f>ShowFormula</f>
        <v>=INDEX(A3:B11;VERGLEICH(B6;B3:B11;0);1)</v>
      </c>
    </row>
    <row r="16" spans="1:8" x14ac:dyDescent="0.25">
      <c r="A16" t="s">
        <v>19</v>
      </c>
      <c r="B16" s="16">
        <f>INDEX(($C$3:$D$11,$E$3:$F$11,$G$3:$H$11),MATCH(B14,$B$3:$B$11,0),1,$B$13)</f>
        <v>0.16</v>
      </c>
      <c r="D16" t="str">
        <f>ShowFormula</f>
        <v>=INDEX(($C$3:$D$11;$E$3:$F$11;$G$3:$H$11);VERGLEICH(B14;$B$3:$B$11;0);1;$B$13)</v>
      </c>
    </row>
    <row r="17" spans="1:22 16375:16382" x14ac:dyDescent="0.25">
      <c r="A17" t="s">
        <v>46</v>
      </c>
      <c r="B17" s="16">
        <f>INDEX(($C$3:$D$11,$E$3:$F$11,$G$3:$H$11),MATCH(B14,$B$3:$B$11,0),2,$B$13)</f>
        <v>45</v>
      </c>
      <c r="D17" t="str">
        <f>ShowFormula</f>
        <v>=INDEX(($C$3:$D$11;$E$3:$F$11;$G$3:$H$11);VERGLEICH(B14;$B$3:$B$11;0);2;$B$13)</v>
      </c>
    </row>
    <row r="20" spans="1:22 16375:16382" x14ac:dyDescent="0.25">
      <c r="A20" t="s">
        <v>36</v>
      </c>
      <c r="B20" t="str">
        <f ca="1">INT(RAND()*3+1)&amp;CHAR(RAND()*26+65)&amp;CHAR(RAND()*26+65)&amp;INT(RAND()*90+10)</f>
        <v>3QZ10</v>
      </c>
    </row>
    <row r="21" spans="1:22 16375:16382" x14ac:dyDescent="0.25">
      <c r="L21" s="18" t="s">
        <v>51</v>
      </c>
    </row>
    <row r="22" spans="1:22 16375:16382" x14ac:dyDescent="0.25">
      <c r="B22" s="18"/>
      <c r="M22" s="18" t="s">
        <v>52</v>
      </c>
    </row>
    <row r="23" spans="1:22 16375:16382" x14ac:dyDescent="0.25">
      <c r="N23" s="18" t="s">
        <v>53</v>
      </c>
    </row>
    <row r="24" spans="1:22 16375:16382" x14ac:dyDescent="0.25">
      <c r="O24" s="18" t="s">
        <v>54</v>
      </c>
      <c r="XEU24" s="18" t="s">
        <v>50</v>
      </c>
    </row>
    <row r="25" spans="1:22 16375:16382" x14ac:dyDescent="0.25">
      <c r="P25" s="18" t="s">
        <v>55</v>
      </c>
      <c r="XEV25" s="18" t="s">
        <v>50</v>
      </c>
    </row>
    <row r="26" spans="1:22 16375:16382" x14ac:dyDescent="0.25">
      <c r="Q26" s="18" t="s">
        <v>56</v>
      </c>
      <c r="XEW26" s="18" t="s">
        <v>50</v>
      </c>
    </row>
    <row r="27" spans="1:22 16375:16382" x14ac:dyDescent="0.25">
      <c r="R27" s="18"/>
      <c r="XEX27" s="18" t="s">
        <v>50</v>
      </c>
    </row>
    <row r="28" spans="1:22 16375:16382" x14ac:dyDescent="0.25">
      <c r="S28" s="18"/>
      <c r="XEY28" s="18" t="s">
        <v>50</v>
      </c>
    </row>
    <row r="29" spans="1:22 16375:16382" x14ac:dyDescent="0.25">
      <c r="T29" s="18"/>
      <c r="XEZ29" s="18" t="s">
        <v>50</v>
      </c>
    </row>
    <row r="30" spans="1:22 16375:16382" x14ac:dyDescent="0.25">
      <c r="U30" s="18"/>
      <c r="XFA30" s="18" t="s">
        <v>50</v>
      </c>
    </row>
    <row r="31" spans="1:22 16375:16382" x14ac:dyDescent="0.25">
      <c r="V31" s="18"/>
      <c r="XFB31" s="18" t="s">
        <v>50</v>
      </c>
    </row>
  </sheetData>
  <mergeCells count="3">
    <mergeCell ref="C1:D1"/>
    <mergeCell ref="E1:F1"/>
    <mergeCell ref="G1:H1"/>
  </mergeCell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11"/>
  <sheetViews>
    <sheetView zoomScaleNormal="100" workbookViewId="0">
      <selection activeCell="C3" sqref="C3"/>
    </sheetView>
  </sheetViews>
  <sheetFormatPr baseColWidth="10" defaultRowHeight="15" x14ac:dyDescent="0.25"/>
  <cols>
    <col min="1" max="1" width="17.42578125" bestFit="1" customWidth="1"/>
    <col min="5" max="5" width="25.28515625" bestFit="1" customWidth="1"/>
    <col min="7" max="7" width="12" bestFit="1" customWidth="1"/>
  </cols>
  <sheetData>
    <row r="2" spans="1:8" x14ac:dyDescent="0.25">
      <c r="A2" t="s">
        <v>57</v>
      </c>
      <c r="B2" t="s">
        <v>58</v>
      </c>
      <c r="C2" t="s">
        <v>60</v>
      </c>
      <c r="D2" t="s">
        <v>59</v>
      </c>
      <c r="G2" t="s">
        <v>58</v>
      </c>
      <c r="H2" t="s">
        <v>60</v>
      </c>
    </row>
    <row r="3" spans="1:8" x14ac:dyDescent="0.25">
      <c r="A3" t="s">
        <v>61</v>
      </c>
      <c r="B3" s="21">
        <v>13456</v>
      </c>
      <c r="C3" s="19">
        <f>VLOOKUP(B3,$G$3:$H$7,2)</f>
        <v>0.03</v>
      </c>
      <c r="D3" s="20">
        <f>B3*C3</f>
        <v>403.68</v>
      </c>
      <c r="E3" t="str">
        <f>ShowFormula</f>
        <v>=SVERWEIS(B3;$G$3:$H$7;2)</v>
      </c>
      <c r="G3" s="22">
        <v>0</v>
      </c>
      <c r="H3" s="23">
        <v>0</v>
      </c>
    </row>
    <row r="4" spans="1:8" x14ac:dyDescent="0.25">
      <c r="A4" t="s">
        <v>62</v>
      </c>
      <c r="B4" s="21">
        <v>45213</v>
      </c>
      <c r="C4" s="19">
        <f t="shared" ref="C4:C8" si="0">VLOOKUP(B4,$G$3:$H$7,2)</f>
        <v>0.05</v>
      </c>
      <c r="D4" s="20">
        <f t="shared" ref="D4:D8" si="1">B4*C4</f>
        <v>2260.65</v>
      </c>
      <c r="G4" s="22">
        <v>5000</v>
      </c>
      <c r="H4" s="23">
        <v>0.02</v>
      </c>
    </row>
    <row r="5" spans="1:8" x14ac:dyDescent="0.25">
      <c r="A5" t="s">
        <v>63</v>
      </c>
      <c r="B5" s="21">
        <v>72221</v>
      </c>
      <c r="C5" s="19">
        <f t="shared" si="0"/>
        <v>0.1</v>
      </c>
      <c r="D5" s="20">
        <f t="shared" si="1"/>
        <v>7222.1</v>
      </c>
      <c r="G5" s="22">
        <v>10000</v>
      </c>
      <c r="H5" s="23">
        <v>0.03</v>
      </c>
    </row>
    <row r="6" spans="1:8" x14ac:dyDescent="0.25">
      <c r="A6" t="s">
        <v>64</v>
      </c>
      <c r="B6" s="21">
        <v>3567</v>
      </c>
      <c r="C6" s="19">
        <f t="shared" si="0"/>
        <v>0</v>
      </c>
      <c r="D6" s="20">
        <f t="shared" si="1"/>
        <v>0</v>
      </c>
      <c r="G6" s="22">
        <v>20000</v>
      </c>
      <c r="H6" s="23">
        <v>0.05</v>
      </c>
    </row>
    <row r="7" spans="1:8" x14ac:dyDescent="0.25">
      <c r="A7" t="s">
        <v>65</v>
      </c>
      <c r="B7" s="21">
        <v>7894</v>
      </c>
      <c r="C7" s="19">
        <f t="shared" si="0"/>
        <v>0.02</v>
      </c>
      <c r="D7" s="20">
        <f t="shared" si="1"/>
        <v>157.88</v>
      </c>
      <c r="G7" s="22">
        <v>50000</v>
      </c>
      <c r="H7" s="23">
        <v>0.1</v>
      </c>
    </row>
    <row r="8" spans="1:8" x14ac:dyDescent="0.25">
      <c r="A8" t="s">
        <v>66</v>
      </c>
      <c r="B8" s="21">
        <v>33812</v>
      </c>
      <c r="C8" s="19">
        <f t="shared" si="0"/>
        <v>0.05</v>
      </c>
      <c r="D8" s="20">
        <f t="shared" si="1"/>
        <v>1690.6000000000001</v>
      </c>
    </row>
    <row r="10" spans="1:8" x14ac:dyDescent="0.25">
      <c r="B10" s="13"/>
      <c r="C10" t="s">
        <v>67</v>
      </c>
    </row>
    <row r="11" spans="1:8" x14ac:dyDescent="0.25">
      <c r="B11" s="24"/>
      <c r="C11" t="s">
        <v>68</v>
      </c>
    </row>
  </sheetData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15"/>
  <sheetViews>
    <sheetView tabSelected="1" workbookViewId="0">
      <selection activeCell="C7" sqref="C7"/>
    </sheetView>
  </sheetViews>
  <sheetFormatPr baseColWidth="10" defaultRowHeight="15" x14ac:dyDescent="0.25"/>
  <cols>
    <col min="1" max="1" width="17.42578125" bestFit="1" customWidth="1"/>
    <col min="6" max="6" width="12" bestFit="1" customWidth="1"/>
  </cols>
  <sheetData>
    <row r="2" spans="1:6" x14ac:dyDescent="0.25">
      <c r="A2" s="6" t="s">
        <v>58</v>
      </c>
      <c r="B2" s="22">
        <v>0</v>
      </c>
      <c r="C2" s="22">
        <v>5000</v>
      </c>
      <c r="D2" s="22">
        <v>10000</v>
      </c>
      <c r="E2" s="22">
        <v>20000</v>
      </c>
      <c r="F2" s="22">
        <v>50000</v>
      </c>
    </row>
    <row r="3" spans="1:6" x14ac:dyDescent="0.25">
      <c r="A3" s="6" t="s">
        <v>60</v>
      </c>
      <c r="B3" s="23">
        <v>0</v>
      </c>
      <c r="C3" s="23">
        <v>0.02</v>
      </c>
      <c r="D3" s="23">
        <v>0.03</v>
      </c>
      <c r="E3" s="23">
        <v>0.05</v>
      </c>
      <c r="F3" s="23">
        <v>0.1</v>
      </c>
    </row>
    <row r="6" spans="1:6" x14ac:dyDescent="0.25">
      <c r="A6" s="6" t="s">
        <v>57</v>
      </c>
      <c r="B6" s="6" t="s">
        <v>58</v>
      </c>
      <c r="C6" s="6" t="s">
        <v>60</v>
      </c>
      <c r="D6" s="6" t="s">
        <v>59</v>
      </c>
      <c r="E6" s="6"/>
    </row>
    <row r="7" spans="1:6" x14ac:dyDescent="0.25">
      <c r="A7" t="s">
        <v>61</v>
      </c>
      <c r="B7" s="21">
        <v>13456</v>
      </c>
      <c r="C7" s="19">
        <f>HLOOKUP(B7,$B$2:$F$3,2)</f>
        <v>0.03</v>
      </c>
      <c r="D7" s="20">
        <f>B7*C7</f>
        <v>403.68</v>
      </c>
      <c r="E7" t="str">
        <f>ShowFormula</f>
        <v>=WVERWEIS(B7;$B$2:$F$3;2)</v>
      </c>
    </row>
    <row r="8" spans="1:6" x14ac:dyDescent="0.25">
      <c r="A8" t="s">
        <v>62</v>
      </c>
      <c r="B8" s="21">
        <v>45213</v>
      </c>
      <c r="C8" s="19">
        <f t="shared" ref="C8:C12" si="0">HLOOKUP(B8,$B$2:$F$3,2)</f>
        <v>0.05</v>
      </c>
      <c r="D8" s="20">
        <f t="shared" ref="D8:D12" si="1">B8*C8</f>
        <v>2260.65</v>
      </c>
    </row>
    <row r="9" spans="1:6" x14ac:dyDescent="0.25">
      <c r="A9" t="s">
        <v>63</v>
      </c>
      <c r="B9" s="21">
        <v>72221</v>
      </c>
      <c r="C9" s="19">
        <f t="shared" si="0"/>
        <v>0.1</v>
      </c>
      <c r="D9" s="20">
        <f t="shared" si="1"/>
        <v>7222.1</v>
      </c>
    </row>
    <row r="10" spans="1:6" x14ac:dyDescent="0.25">
      <c r="A10" t="s">
        <v>64</v>
      </c>
      <c r="B10" s="21">
        <v>3567</v>
      </c>
      <c r="C10" s="19">
        <f t="shared" si="0"/>
        <v>0</v>
      </c>
      <c r="D10" s="20">
        <f t="shared" si="1"/>
        <v>0</v>
      </c>
    </row>
    <row r="11" spans="1:6" x14ac:dyDescent="0.25">
      <c r="A11" t="s">
        <v>65</v>
      </c>
      <c r="B11" s="21">
        <v>7894</v>
      </c>
      <c r="C11" s="19">
        <f t="shared" si="0"/>
        <v>0.02</v>
      </c>
      <c r="D11" s="20">
        <f t="shared" si="1"/>
        <v>157.88</v>
      </c>
    </row>
    <row r="12" spans="1:6" x14ac:dyDescent="0.25">
      <c r="A12" t="s">
        <v>66</v>
      </c>
      <c r="B12" s="21">
        <v>33812</v>
      </c>
      <c r="C12" s="19">
        <f t="shared" si="0"/>
        <v>0.05</v>
      </c>
      <c r="D12" s="20">
        <f t="shared" si="1"/>
        <v>1690.6000000000001</v>
      </c>
    </row>
    <row r="14" spans="1:6" x14ac:dyDescent="0.25">
      <c r="B14" s="13"/>
      <c r="C14" t="s">
        <v>67</v>
      </c>
    </row>
    <row r="15" spans="1:6" x14ac:dyDescent="0.25">
      <c r="B15" s="24"/>
      <c r="C15" t="s">
        <v>68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11</vt:i4>
      </vt:variant>
    </vt:vector>
  </HeadingPairs>
  <TitlesOfParts>
    <vt:vector size="11" baseType="lpstr">
      <vt:lpstr>Wenn_1</vt:lpstr>
      <vt:lpstr>Wenn_verschachtelt</vt:lpstr>
      <vt:lpstr>ODER_1</vt:lpstr>
      <vt:lpstr>UND_mit_wenn</vt:lpstr>
      <vt:lpstr>Vergleich</vt:lpstr>
      <vt:lpstr>Vergleich (2)</vt:lpstr>
      <vt:lpstr>Matrix_1</vt:lpstr>
      <vt:lpstr>Matrix_MitVergleich</vt:lpstr>
      <vt:lpstr>Matrix_Bezug</vt:lpstr>
      <vt:lpstr>sverweis</vt:lpstr>
      <vt:lpstr>wverweis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_</dc:creator>
  <cp:lastModifiedBy>_</cp:lastModifiedBy>
  <dcterms:created xsi:type="dcterms:W3CDTF">2015-10-09T15:10:05Z</dcterms:created>
  <dcterms:modified xsi:type="dcterms:W3CDTF">2015-10-10T12:20:09Z</dcterms:modified>
</cp:coreProperties>
</file>